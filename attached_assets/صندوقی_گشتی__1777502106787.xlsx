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ندوقی گشتی " sheetId="1" r:id="rId5"/>
    <sheet state="visible" name="نسخة من صندوقی گشتی " sheetId="2" r:id="rId6"/>
  </sheets>
  <definedNames>
    <definedName hidden="1" localSheetId="0" name="_xlnm._FilterDatabase">'صندوقی گشتی '!$A$1:$AC$21</definedName>
    <definedName hidden="1" localSheetId="1" name="_xlnm._FilterDatabase">'نسخة من صندوقی گشتی '!$A$1:$AB$21</definedName>
  </definedNames>
  <calcPr/>
</workbook>
</file>

<file path=xl/sharedStrings.xml><?xml version="1.0" encoding="utf-8"?>
<sst xmlns="http://schemas.openxmlformats.org/spreadsheetml/2006/main" count="96" uniqueCount="30">
  <si>
    <t>خیر و شەر</t>
  </si>
  <si>
    <t>نەتیجە</t>
  </si>
  <si>
    <t>گۆرینەوە بە نرخی روژ</t>
  </si>
  <si>
    <t>دیناربودولار</t>
  </si>
  <si>
    <t>مصروفات گشتی</t>
  </si>
  <si>
    <t>فروش- مصرف</t>
  </si>
  <si>
    <t>پشككەكان</t>
  </si>
  <si>
    <t>1 پشكك</t>
  </si>
  <si>
    <t>ژمارەی پشك</t>
  </si>
  <si>
    <t>كوی قازانج خاوەن پشك</t>
  </si>
  <si>
    <t>فروش</t>
  </si>
  <si>
    <t>مصروفات دینار</t>
  </si>
  <si>
    <t>مصروفات دولار</t>
  </si>
  <si>
    <t>موچە گشتی</t>
  </si>
  <si>
    <t>داشكان</t>
  </si>
  <si>
    <t xml:space="preserve"> </t>
  </si>
  <si>
    <t>باقی حساب1-2</t>
  </si>
  <si>
    <t>وەرگرتن پارە  6+7</t>
  </si>
  <si>
    <t>وەرگرتن پارە  2+3</t>
  </si>
  <si>
    <t>وەرگیراو</t>
  </si>
  <si>
    <t>واصلكراو  گشتی</t>
  </si>
  <si>
    <t>باقی حساب3-6</t>
  </si>
  <si>
    <t>باقی حساب1-6</t>
  </si>
  <si>
    <t>باقی</t>
  </si>
  <si>
    <t>باقی  گشتی</t>
  </si>
  <si>
    <t>ورگرتن ناو وصل/ مخفی</t>
  </si>
  <si>
    <t>وصل پارە قبض /مخفی</t>
  </si>
  <si>
    <t>ورگرتن ناو وصل</t>
  </si>
  <si>
    <t>وصل پارە قبض</t>
  </si>
  <si>
    <t xml:space="preserve">دۆلار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</si>
</sst>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FF"/>
      <name val="Arial"/>
    </font>
    <font>
      <b/>
      <sz val="11.0"/>
      <color rgb="FFFFFFFF"/>
      <name val="Noto Naskh Arabic"/>
    </font>
    <font>
      <b/>
      <sz val="11.0"/>
      <color rgb="FF0000FF"/>
      <name val="Arial"/>
      <scheme val="minor"/>
    </font>
    <font>
      <b/>
      <sz val="11.0"/>
      <color theme="1"/>
      <name val="Arial"/>
    </font>
    <font>
      <b/>
      <sz val="11.0"/>
      <color theme="1"/>
      <name val="Noto Naskh Arabic"/>
    </font>
    <font>
      <b/>
      <sz val="11.0"/>
      <color rgb="FFFFFFFF"/>
      <name val="Arial"/>
    </font>
    <font>
      <b/>
      <sz val="11.0"/>
      <color theme="1"/>
      <name val="Arial"/>
      <scheme val="minor"/>
    </font>
    <font/>
    <font>
      <b/>
      <sz val="11.0"/>
      <color rgb="FF0000FF"/>
      <name val="Noto Naskh Arabic"/>
    </font>
    <font>
      <b/>
      <sz val="8.0"/>
      <color rgb="FFFFFFFF"/>
      <name val="Noto Naskh Arabic"/>
    </font>
    <font>
      <b/>
      <sz val="8.0"/>
      <color theme="1"/>
      <name val="Arial"/>
    </font>
    <font>
      <b/>
      <sz val="11.0"/>
      <color rgb="FFFFFF00"/>
      <name val="Noto Naskh Arabic"/>
    </font>
    <font>
      <b/>
      <sz val="11.0"/>
      <color rgb="FFFF99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</fills>
  <borders count="8">
    <border/>
    <border>
      <bottom style="thin">
        <color rgb="FF210000"/>
      </bottom>
    </border>
    <border>
      <bottom style="thin">
        <color rgb="FF000000"/>
      </bottom>
    </border>
    <border>
      <left style="thin">
        <color rgb="FF210000"/>
      </left>
      <right style="thin">
        <color rgb="FF210000"/>
      </right>
      <bottom style="thin">
        <color rgb="FF210000"/>
      </bottom>
    </border>
    <border>
      <left style="thin">
        <color rgb="FF210000"/>
      </left>
      <bottom style="thin">
        <color rgb="FF210000"/>
      </bottom>
    </border>
    <border>
      <left style="thin">
        <color rgb="FF210000"/>
      </lef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1" numFmtId="3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0" fillId="2" fontId="3" numFmtId="0" xfId="0" applyAlignment="1" applyFont="1">
      <alignment horizontal="center"/>
    </xf>
    <xf borderId="0" fillId="2" fontId="3" numFmtId="0" xfId="0" applyFont="1"/>
    <xf borderId="1" fillId="0" fontId="4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1" fillId="2" fontId="4" numFmtId="3" xfId="0" applyAlignment="1" applyBorder="1" applyFont="1" applyNumberFormat="1">
      <alignment vertical="bottom"/>
    </xf>
    <xf borderId="1" fillId="4" fontId="6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3" fontId="4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bottom"/>
    </xf>
    <xf borderId="1" fillId="5" fontId="4" numFmtId="0" xfId="0" applyAlignment="1" applyBorder="1" applyFill="1" applyFont="1">
      <alignment vertical="bottom"/>
    </xf>
    <xf borderId="0" fillId="3" fontId="2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1" fillId="3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0" xfId="0" applyFont="1"/>
    <xf borderId="3" fillId="0" fontId="4" numFmtId="0" xfId="0" applyAlignment="1" applyBorder="1" applyFont="1">
      <alignment vertical="bottom"/>
    </xf>
    <xf borderId="4" fillId="2" fontId="5" numFmtId="0" xfId="0" applyAlignment="1" applyBorder="1" applyFont="1">
      <alignment horizontal="center" readingOrder="0" vertical="bottom"/>
    </xf>
    <xf borderId="4" fillId="2" fontId="4" numFmtId="3" xfId="0" applyAlignment="1" applyBorder="1" applyFont="1" applyNumberFormat="1">
      <alignment vertical="bottom"/>
    </xf>
    <xf borderId="4" fillId="4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4" fillId="0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vertical="bottom"/>
    </xf>
    <xf borderId="5" fillId="3" fontId="4" numFmtId="0" xfId="0" applyAlignment="1" applyBorder="1" applyFont="1">
      <alignment vertical="bottom"/>
    </xf>
    <xf borderId="4" fillId="3" fontId="2" numFmtId="0" xfId="0" applyAlignment="1" applyBorder="1" applyFont="1">
      <alignment horizontal="center" vertical="bottom"/>
    </xf>
    <xf borderId="1" fillId="0" fontId="8" numFmtId="0" xfId="0" applyBorder="1" applyFont="1"/>
    <xf borderId="2" fillId="3" fontId="2" numFmtId="0" xfId="0" applyAlignment="1" applyBorder="1" applyFont="1">
      <alignment horizontal="center" readingOrder="0" vertical="bottom"/>
    </xf>
    <xf borderId="0" fillId="3" fontId="4" numFmtId="0" xfId="0" applyAlignment="1" applyFont="1">
      <alignment readingOrder="0" vertical="bottom"/>
    </xf>
    <xf borderId="0" fillId="0" fontId="7" numFmtId="0" xfId="0" applyAlignment="1" applyFont="1">
      <alignment horizontal="center" readingOrder="0"/>
    </xf>
    <xf borderId="3" fillId="3" fontId="2" numFmtId="0" xfId="0" applyAlignment="1" applyBorder="1" applyFont="1">
      <alignment horizontal="center" vertical="bottom"/>
    </xf>
    <xf borderId="4" fillId="6" fontId="9" numFmtId="0" xfId="0" applyAlignment="1" applyBorder="1" applyFill="1" applyFont="1">
      <alignment horizontal="center" vertical="bottom"/>
    </xf>
    <xf borderId="4" fillId="6" fontId="9" numFmtId="3" xfId="0" applyAlignment="1" applyBorder="1" applyFont="1" applyNumberFormat="1">
      <alignment horizontal="center" readingOrder="0" vertical="bottom"/>
    </xf>
    <xf borderId="4" fillId="3" fontId="6" numFmtId="0" xfId="0" applyAlignment="1" applyBorder="1" applyFont="1">
      <alignment horizontal="center" readingOrder="0" vertical="center"/>
    </xf>
    <xf borderId="4" fillId="3" fontId="2" numFmtId="3" xfId="0" applyAlignment="1" applyBorder="1" applyFont="1" applyNumberFormat="1">
      <alignment horizontal="center" readingOrder="0" vertical="bottom"/>
    </xf>
    <xf borderId="1" fillId="3" fontId="2" numFmtId="0" xfId="0" applyAlignment="1" applyBorder="1" applyFont="1">
      <alignment horizontal="center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0" fillId="5" fontId="4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4" fillId="3" fontId="10" numFmtId="0" xfId="0" applyAlignment="1" applyBorder="1" applyFont="1">
      <alignment horizontal="center" vertical="bottom"/>
    </xf>
    <xf borderId="6" fillId="3" fontId="6" numFmtId="3" xfId="0" applyAlignment="1" applyBorder="1" applyFont="1" applyNumberFormat="1">
      <alignment horizontal="center" vertical="center"/>
    </xf>
    <xf borderId="6" fillId="5" fontId="6" numFmtId="3" xfId="0" applyAlignment="1" applyBorder="1" applyFont="1" applyNumberFormat="1">
      <alignment horizontal="center" readingOrder="0" vertical="bottom"/>
    </xf>
    <xf borderId="7" fillId="5" fontId="6" numFmtId="0" xfId="0" applyAlignment="1" applyBorder="1" applyFont="1">
      <alignment horizontal="center" readingOrder="0" vertical="bottom"/>
    </xf>
    <xf borderId="0" fillId="5" fontId="6" numFmtId="0" xfId="0" applyAlignment="1" applyFont="1">
      <alignment horizontal="center" vertical="bottom"/>
    </xf>
    <xf borderId="0" fillId="5" fontId="4" numFmtId="0" xfId="0" applyAlignment="1" applyFont="1">
      <alignment readingOrder="0" vertical="bottom"/>
    </xf>
    <xf borderId="3" fillId="2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right" vertical="bottom"/>
    </xf>
    <xf borderId="4" fillId="2" fontId="9" numFmtId="3" xfId="0" applyAlignment="1" applyBorder="1" applyFont="1" applyNumberFormat="1">
      <alignment horizontal="center" readingOrder="0" vertical="bottom"/>
    </xf>
    <xf borderId="4" fillId="4" fontId="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7" fontId="6" numFmtId="0" xfId="0" applyAlignment="1" applyFill="1" applyFont="1">
      <alignment horizontal="center" vertical="bottom"/>
    </xf>
    <xf borderId="4" fillId="8" fontId="2" numFmtId="0" xfId="0" applyAlignment="1" applyBorder="1" applyFill="1" applyFont="1">
      <alignment horizontal="right" readingOrder="0" vertical="bottom"/>
    </xf>
    <xf borderId="0" fillId="0" fontId="11" numFmtId="0" xfId="0" applyAlignment="1" applyFont="1">
      <alignment horizontal="center" readingOrder="0" vertical="bottom"/>
    </xf>
    <xf borderId="3" fillId="7" fontId="5" numFmtId="0" xfId="0" applyAlignment="1" applyBorder="1" applyFont="1">
      <alignment horizontal="center" vertical="bottom"/>
    </xf>
    <xf borderId="4" fillId="7" fontId="5" numFmtId="0" xfId="0" applyAlignment="1" applyBorder="1" applyFont="1">
      <alignment horizontal="right" readingOrder="0" vertical="bottom"/>
    </xf>
    <xf borderId="4" fillId="3" fontId="12" numFmtId="3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horizontal="center" vertical="center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3" fontId="13" numFmtId="0" xfId="0" applyAlignment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right" readingOrder="0" vertical="bottom"/>
    </xf>
    <xf borderId="4" fillId="8" fontId="5" numFmtId="3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right" vertical="center"/>
    </xf>
    <xf borderId="4" fillId="5" fontId="4" numFmtId="3" xfId="0" applyAlignment="1" applyBorder="1" applyFont="1" applyNumberFormat="1">
      <alignment horizontal="center" vertical="center"/>
    </xf>
    <xf borderId="4" fillId="5" fontId="6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shrinkToFit="0" vertical="center" wrapText="0"/>
    </xf>
    <xf borderId="0" fillId="5" fontId="4" numFmtId="0" xfId="0" applyAlignment="1" applyFont="1">
      <alignment horizontal="center" vertical="center"/>
    </xf>
    <xf borderId="0" fillId="5" fontId="4" numFmtId="0" xfId="0" applyAlignment="1" applyFont="1">
      <alignment horizontal="center" readingOrder="0" vertical="center"/>
    </xf>
    <xf borderId="5" fillId="5" fontId="4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4" fillId="2" fontId="5" numFmtId="0" xfId="0" applyAlignment="1" applyBorder="1" applyFont="1">
      <alignment horizontal="right" vertical="bottom"/>
    </xf>
    <xf borderId="0" fillId="3" fontId="4" numFmtId="0" xfId="0" applyAlignment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4" fillId="2" fontId="5" numFmtId="3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4" fillId="0" fontId="4" numFmtId="3" xfId="0" applyAlignment="1" applyBorder="1" applyFont="1" applyNumberFormat="1">
      <alignment vertical="bottom"/>
    </xf>
    <xf borderId="1" fillId="9" fontId="2" numFmtId="0" xfId="0" applyAlignment="1" applyBorder="1" applyFill="1" applyFont="1">
      <alignment horizontal="center" shrinkToFit="0" vertical="bottom" wrapText="0"/>
    </xf>
    <xf borderId="4" fillId="3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0"/>
    <col customWidth="1" min="2" max="2" width="17.13"/>
    <col customWidth="1" min="3" max="3" width="7.63"/>
    <col customWidth="1" min="4" max="4" width="2.0"/>
    <col customWidth="1" min="5" max="5" width="17.13"/>
    <col customWidth="1" min="6" max="6" width="7.63"/>
    <col customWidth="1" min="7" max="7" width="2.0"/>
    <col customWidth="1" min="8" max="8" width="17.13"/>
    <col customWidth="1" min="9" max="9" width="3.0"/>
    <col customWidth="1" min="10" max="10" width="15.0"/>
    <col customWidth="1" min="11" max="11" width="3.5"/>
    <col customWidth="1" min="12" max="12" width="9.0"/>
    <col customWidth="1" min="13" max="13" width="5.63"/>
    <col customWidth="1" min="14" max="14" width="8.13"/>
    <col customWidth="1" min="15" max="15" width="6.13"/>
    <col customWidth="1" min="16" max="16" width="3.63"/>
    <col customWidth="1" min="17" max="17" width="10.75"/>
    <col customWidth="1" min="18" max="18" width="7.75"/>
    <col customWidth="1" min="19" max="19" width="11.0"/>
    <col customWidth="1" min="20" max="20" width="11.75"/>
    <col customWidth="1" min="21" max="21" width="8.88"/>
    <col customWidth="1" min="23" max="23" width="15.38"/>
  </cols>
  <sheetData>
    <row r="1">
      <c r="A1" s="1"/>
      <c r="B1" s="2">
        <v>1.0</v>
      </c>
      <c r="C1" s="3"/>
      <c r="D1" s="4"/>
      <c r="E1" s="5">
        <v>2.0</v>
      </c>
      <c r="F1" s="6"/>
      <c r="G1" s="4"/>
      <c r="H1" s="5">
        <v>3.0</v>
      </c>
      <c r="I1" s="1"/>
      <c r="J1" s="5"/>
      <c r="K1" s="1"/>
      <c r="L1" s="6"/>
      <c r="M1" s="6"/>
      <c r="N1" s="5">
        <v>4.0</v>
      </c>
      <c r="O1" s="6"/>
      <c r="P1" s="5"/>
      <c r="Q1" s="6"/>
      <c r="R1" s="4"/>
      <c r="S1" s="7" t="s">
        <v>0</v>
      </c>
      <c r="T1" s="5"/>
      <c r="U1" s="6"/>
      <c r="V1" s="6"/>
      <c r="W1" s="8"/>
      <c r="X1" s="9"/>
      <c r="Y1" s="9"/>
      <c r="Z1" s="9"/>
      <c r="AA1" s="9"/>
      <c r="AB1" s="9"/>
      <c r="AC1" s="9"/>
    </row>
    <row r="2">
      <c r="A2" s="10"/>
      <c r="B2" s="11"/>
      <c r="C2" s="12"/>
      <c r="D2" s="13"/>
      <c r="E2" s="14"/>
      <c r="F2" s="15"/>
      <c r="G2" s="13"/>
      <c r="H2" s="15"/>
      <c r="I2" s="16"/>
      <c r="J2" s="17"/>
      <c r="K2" s="18"/>
      <c r="L2" s="19"/>
      <c r="M2" s="20"/>
      <c r="N2" s="21"/>
      <c r="O2" s="19"/>
      <c r="P2" s="21"/>
      <c r="Q2" s="19"/>
      <c r="R2" s="22"/>
      <c r="S2" s="23" t="s">
        <v>1</v>
      </c>
      <c r="T2" s="23"/>
      <c r="U2" s="23"/>
      <c r="V2" s="21"/>
      <c r="W2" s="24"/>
      <c r="X2" s="25"/>
      <c r="Y2" s="25"/>
      <c r="Z2" s="25"/>
      <c r="AA2" s="25"/>
      <c r="AB2" s="25"/>
      <c r="AC2" s="25"/>
    </row>
    <row r="3">
      <c r="A3" s="26"/>
      <c r="B3" s="27"/>
      <c r="C3" s="28"/>
      <c r="D3" s="29"/>
      <c r="E3" s="10"/>
      <c r="F3" s="30">
        <v>1.0</v>
      </c>
      <c r="G3" s="29"/>
      <c r="H3" s="31">
        <v>3.0</v>
      </c>
      <c r="I3" s="32"/>
      <c r="J3" s="33" t="s">
        <v>2</v>
      </c>
      <c r="K3" s="34"/>
      <c r="L3" s="19" t="s">
        <v>3</v>
      </c>
      <c r="M3" s="20"/>
      <c r="N3" s="35"/>
      <c r="O3" s="19">
        <v>3.0</v>
      </c>
      <c r="P3" s="35"/>
      <c r="Q3" s="36" t="s">
        <v>4</v>
      </c>
      <c r="R3" s="37"/>
      <c r="S3" s="23" t="s">
        <v>5</v>
      </c>
      <c r="T3" s="38" t="s">
        <v>6</v>
      </c>
      <c r="U3" s="38" t="s">
        <v>7</v>
      </c>
      <c r="V3" s="39" t="s">
        <v>8</v>
      </c>
      <c r="W3" s="40" t="s">
        <v>9</v>
      </c>
      <c r="X3" s="25"/>
      <c r="Y3" s="25"/>
      <c r="Z3" s="25"/>
      <c r="AA3" s="25"/>
      <c r="AB3" s="25"/>
      <c r="AC3" s="25"/>
    </row>
    <row r="4">
      <c r="A4" s="41">
        <v>1.0</v>
      </c>
      <c r="B4" s="42" t="s">
        <v>10</v>
      </c>
      <c r="C4" s="43">
        <v>302000.0</v>
      </c>
      <c r="D4" s="44">
        <v>1.0</v>
      </c>
      <c r="E4" s="36" t="s">
        <v>11</v>
      </c>
      <c r="F4" s="45">
        <v>102000.0</v>
      </c>
      <c r="G4" s="44">
        <v>1.0</v>
      </c>
      <c r="H4" s="46" t="s">
        <v>12</v>
      </c>
      <c r="I4" s="45">
        <v>75.0</v>
      </c>
      <c r="J4" s="47">
        <v>1500.0</v>
      </c>
      <c r="K4" s="48"/>
      <c r="L4" s="49">
        <f t="shared" ref="L4:L11" si="1">I4*J4</f>
        <v>112500</v>
      </c>
      <c r="M4" s="20"/>
      <c r="N4" s="50" t="s">
        <v>13</v>
      </c>
      <c r="O4" s="51">
        <v>30000.0</v>
      </c>
      <c r="P4" s="52"/>
      <c r="Q4" s="53" t="s">
        <v>4</v>
      </c>
      <c r="R4" s="54">
        <f>F6+L6+O4</f>
        <v>241500</v>
      </c>
      <c r="S4" s="55">
        <f>C6-R4</f>
        <v>58500</v>
      </c>
      <c r="T4" s="56">
        <v>100.0</v>
      </c>
      <c r="U4" s="57">
        <f>S4/T4</f>
        <v>585</v>
      </c>
      <c r="V4" s="58">
        <v>3.0</v>
      </c>
      <c r="W4" s="24">
        <f>U4*V4</f>
        <v>1755</v>
      </c>
      <c r="X4" s="25"/>
      <c r="Y4" s="25"/>
      <c r="Z4" s="25"/>
      <c r="AA4" s="25"/>
      <c r="AB4" s="25"/>
      <c r="AC4" s="25"/>
    </row>
    <row r="5">
      <c r="A5" s="59">
        <v>2.0</v>
      </c>
      <c r="B5" s="60" t="s">
        <v>14</v>
      </c>
      <c r="C5" s="61">
        <v>2000.0</v>
      </c>
      <c r="D5" s="62">
        <v>2.0</v>
      </c>
      <c r="E5" s="60" t="s">
        <v>14</v>
      </c>
      <c r="F5" s="61">
        <v>0.0</v>
      </c>
      <c r="G5" s="62">
        <v>2.0</v>
      </c>
      <c r="H5" s="60" t="s">
        <v>14</v>
      </c>
      <c r="I5" s="61">
        <v>2.0</v>
      </c>
      <c r="J5" s="47"/>
      <c r="K5" s="48"/>
      <c r="L5" s="5">
        <f t="shared" si="1"/>
        <v>0</v>
      </c>
      <c r="M5" s="20"/>
      <c r="N5" s="63" t="s">
        <v>15</v>
      </c>
      <c r="O5" s="63" t="s">
        <v>15</v>
      </c>
      <c r="P5" s="52"/>
      <c r="Q5" s="64"/>
      <c r="R5" s="65"/>
      <c r="S5" s="14"/>
      <c r="T5" s="14"/>
      <c r="U5" s="66"/>
      <c r="V5" s="14"/>
      <c r="W5" s="24"/>
      <c r="X5" s="25"/>
      <c r="Y5" s="25"/>
      <c r="Z5" s="25"/>
      <c r="AA5" s="25"/>
      <c r="AB5" s="25"/>
      <c r="AC5" s="25"/>
    </row>
    <row r="6">
      <c r="A6" s="59">
        <v>3.0</v>
      </c>
      <c r="B6" s="67" t="s">
        <v>16</v>
      </c>
      <c r="C6" s="61">
        <f>C4-C5</f>
        <v>300000</v>
      </c>
      <c r="D6" s="62">
        <v>3.0</v>
      </c>
      <c r="E6" s="67" t="s">
        <v>16</v>
      </c>
      <c r="F6" s="61">
        <f>F4-F5</f>
        <v>102000</v>
      </c>
      <c r="G6" s="62">
        <v>3.0</v>
      </c>
      <c r="H6" s="67" t="s">
        <v>16</v>
      </c>
      <c r="I6" s="61">
        <f>I4-I5</f>
        <v>73</v>
      </c>
      <c r="J6" s="47">
        <v>1500.0</v>
      </c>
      <c r="K6" s="48"/>
      <c r="L6" s="5">
        <f t="shared" si="1"/>
        <v>109500</v>
      </c>
      <c r="M6" s="20"/>
      <c r="N6" s="15"/>
      <c r="O6" s="15"/>
      <c r="P6" s="52"/>
      <c r="Q6" s="68"/>
      <c r="R6" s="65"/>
      <c r="S6" s="14"/>
      <c r="T6" s="14"/>
      <c r="U6" s="66"/>
      <c r="V6" s="14"/>
      <c r="W6" s="24"/>
      <c r="X6" s="25"/>
      <c r="Y6" s="25"/>
      <c r="Z6" s="25"/>
      <c r="AA6" s="25"/>
      <c r="AB6" s="25"/>
      <c r="AC6" s="25"/>
    </row>
    <row r="7">
      <c r="A7" s="69">
        <v>4.0</v>
      </c>
      <c r="B7" s="70" t="s">
        <v>17</v>
      </c>
      <c r="C7" s="71">
        <f>C12+C13</f>
        <v>50000</v>
      </c>
      <c r="D7" s="62">
        <v>4.0</v>
      </c>
      <c r="E7" s="70" t="s">
        <v>18</v>
      </c>
      <c r="F7" s="71">
        <f>F12+F13</f>
        <v>50000</v>
      </c>
      <c r="G7" s="62">
        <v>4.0</v>
      </c>
      <c r="H7" s="70" t="s">
        <v>18</v>
      </c>
      <c r="I7" s="71">
        <f>I12+I13</f>
        <v>50</v>
      </c>
      <c r="J7" s="47">
        <v>1500.0</v>
      </c>
      <c r="K7" s="48"/>
      <c r="L7" s="49">
        <f t="shared" si="1"/>
        <v>75000</v>
      </c>
      <c r="M7" s="20"/>
      <c r="N7" s="15" t="s">
        <v>19</v>
      </c>
      <c r="O7" s="63">
        <v>25000.0</v>
      </c>
      <c r="P7" s="52"/>
      <c r="Q7" s="68" t="s">
        <v>20</v>
      </c>
      <c r="R7" s="72">
        <f t="shared" ref="R7:R8" si="2">F7+L7+O7</f>
        <v>150000</v>
      </c>
      <c r="S7" s="73">
        <f t="shared" ref="S7:S8" si="3">C7-R7</f>
        <v>-100000</v>
      </c>
      <c r="T7" s="56">
        <v>100.0</v>
      </c>
      <c r="U7" s="57">
        <f t="shared" ref="U7:U8" si="4">S7/T7</f>
        <v>-1000</v>
      </c>
      <c r="V7" s="74">
        <v>3.0</v>
      </c>
      <c r="W7" s="24">
        <f t="shared" ref="W7:W8" si="5">U7*V7</f>
        <v>-3000</v>
      </c>
      <c r="X7" s="25"/>
      <c r="Y7" s="25"/>
      <c r="Z7" s="25"/>
      <c r="AA7" s="25"/>
      <c r="AB7" s="25"/>
      <c r="AC7" s="25"/>
    </row>
    <row r="8">
      <c r="A8" s="59">
        <v>5.0</v>
      </c>
      <c r="B8" s="67" t="s">
        <v>21</v>
      </c>
      <c r="C8" s="71">
        <f>C6-C7</f>
        <v>250000</v>
      </c>
      <c r="D8" s="62">
        <v>5.0</v>
      </c>
      <c r="E8" s="67" t="s">
        <v>22</v>
      </c>
      <c r="F8" s="71">
        <f>F6-F7</f>
        <v>52000</v>
      </c>
      <c r="G8" s="62">
        <v>5.0</v>
      </c>
      <c r="H8" s="67" t="s">
        <v>22</v>
      </c>
      <c r="I8" s="71">
        <f>I6-I7</f>
        <v>23</v>
      </c>
      <c r="J8" s="47">
        <v>1500.0</v>
      </c>
      <c r="K8" s="48"/>
      <c r="L8" s="49">
        <f t="shared" si="1"/>
        <v>34500</v>
      </c>
      <c r="M8" s="20"/>
      <c r="N8" s="75" t="s">
        <v>23</v>
      </c>
      <c r="O8" s="75">
        <f>O4-O7</f>
        <v>5000</v>
      </c>
      <c r="P8" s="21"/>
      <c r="Q8" s="68" t="s">
        <v>24</v>
      </c>
      <c r="R8" s="72">
        <f t="shared" si="2"/>
        <v>91500</v>
      </c>
      <c r="S8" s="73">
        <f t="shared" si="3"/>
        <v>158500</v>
      </c>
      <c r="T8" s="56">
        <v>100.0</v>
      </c>
      <c r="U8" s="57">
        <f t="shared" si="4"/>
        <v>1585</v>
      </c>
      <c r="V8" s="74">
        <v>3.0</v>
      </c>
      <c r="W8" s="24">
        <f t="shared" si="5"/>
        <v>4755</v>
      </c>
      <c r="X8" s="25"/>
      <c r="Y8" s="25"/>
      <c r="Z8" s="25"/>
      <c r="AA8" s="25"/>
      <c r="AB8" s="25"/>
      <c r="AC8" s="25"/>
    </row>
    <row r="9">
      <c r="A9" s="76">
        <v>6.0</v>
      </c>
      <c r="B9" s="77" t="s">
        <v>25</v>
      </c>
      <c r="C9" s="78">
        <v>0.0</v>
      </c>
      <c r="D9" s="62">
        <v>6.0</v>
      </c>
      <c r="E9" s="77" t="s">
        <v>25</v>
      </c>
      <c r="F9" s="78">
        <v>0.0</v>
      </c>
      <c r="G9" s="62">
        <v>6.0</v>
      </c>
      <c r="H9" s="77" t="s">
        <v>25</v>
      </c>
      <c r="I9" s="78">
        <v>0.0</v>
      </c>
      <c r="J9" s="47"/>
      <c r="K9" s="48"/>
      <c r="L9" s="49">
        <f t="shared" si="1"/>
        <v>0</v>
      </c>
      <c r="M9" s="20"/>
      <c r="N9" s="14"/>
      <c r="O9" s="14"/>
      <c r="P9" s="21"/>
      <c r="Q9" s="79"/>
      <c r="R9" s="65"/>
      <c r="S9" s="14"/>
      <c r="T9" s="14"/>
      <c r="U9" s="66"/>
      <c r="V9" s="14"/>
      <c r="W9" s="24"/>
      <c r="X9" s="25"/>
      <c r="Y9" s="25"/>
      <c r="Z9" s="25"/>
      <c r="AA9" s="25"/>
      <c r="AB9" s="25"/>
      <c r="AC9" s="25"/>
    </row>
    <row r="10">
      <c r="A10" s="59">
        <v>7.0</v>
      </c>
      <c r="B10" s="77" t="s">
        <v>26</v>
      </c>
      <c r="C10" s="78">
        <v>0.0</v>
      </c>
      <c r="D10" s="62">
        <v>7.0</v>
      </c>
      <c r="E10" s="77" t="s">
        <v>26</v>
      </c>
      <c r="F10" s="78">
        <v>0.0</v>
      </c>
      <c r="G10" s="62">
        <v>7.0</v>
      </c>
      <c r="H10" s="77" t="s">
        <v>26</v>
      </c>
      <c r="I10" s="78">
        <v>0.0</v>
      </c>
      <c r="J10" s="47">
        <v>1500.0</v>
      </c>
      <c r="K10" s="48"/>
      <c r="L10" s="49">
        <f t="shared" si="1"/>
        <v>0</v>
      </c>
      <c r="M10" s="20"/>
      <c r="N10" s="75"/>
      <c r="O10" s="75"/>
      <c r="P10" s="21"/>
      <c r="Q10" s="17"/>
      <c r="R10" s="80"/>
      <c r="S10" s="14"/>
      <c r="T10" s="14"/>
      <c r="U10" s="14"/>
      <c r="V10" s="14"/>
      <c r="W10" s="24"/>
      <c r="X10" s="25"/>
      <c r="Y10" s="25"/>
      <c r="Z10" s="25"/>
      <c r="AA10" s="25"/>
      <c r="AB10" s="25"/>
      <c r="AC10" s="25"/>
    </row>
    <row r="11" ht="12.0" customHeight="1">
      <c r="A11" s="81"/>
      <c r="B11" s="82"/>
      <c r="C11" s="83"/>
      <c r="D11" s="84"/>
      <c r="E11" s="82"/>
      <c r="F11" s="83"/>
      <c r="G11" s="84"/>
      <c r="H11" s="82"/>
      <c r="I11" s="83"/>
      <c r="J11" s="85"/>
      <c r="K11" s="86"/>
      <c r="L11" s="86">
        <f t="shared" si="1"/>
        <v>0</v>
      </c>
      <c r="M11" s="86"/>
      <c r="N11" s="87" t="s">
        <v>15</v>
      </c>
      <c r="O11" s="87" t="s">
        <v>15</v>
      </c>
      <c r="P11" s="88"/>
      <c r="Q11" s="88"/>
      <c r="R11" s="89"/>
      <c r="S11" s="86"/>
      <c r="T11" s="86"/>
      <c r="U11" s="86"/>
      <c r="V11" s="86"/>
      <c r="W11" s="90"/>
      <c r="X11" s="90"/>
      <c r="Y11" s="90"/>
      <c r="Z11" s="90"/>
      <c r="AA11" s="90"/>
      <c r="AB11" s="90"/>
      <c r="AC11" s="90"/>
    </row>
    <row r="12">
      <c r="A12" s="76">
        <v>6.0</v>
      </c>
      <c r="B12" s="91" t="s">
        <v>27</v>
      </c>
      <c r="C12" s="61">
        <v>25000.0</v>
      </c>
      <c r="D12" s="29"/>
      <c r="E12" s="91" t="s">
        <v>27</v>
      </c>
      <c r="F12" s="61">
        <v>25000.0</v>
      </c>
      <c r="G12" s="29"/>
      <c r="H12" s="91" t="s">
        <v>27</v>
      </c>
      <c r="I12" s="61">
        <v>25.0</v>
      </c>
      <c r="J12" s="14"/>
      <c r="K12" s="48"/>
      <c r="L12" s="14"/>
      <c r="M12" s="20"/>
      <c r="N12" s="15" t="str">
        <f>J9</f>
        <v/>
      </c>
      <c r="O12" s="14"/>
      <c r="P12" s="52"/>
      <c r="Q12" s="14"/>
      <c r="R12" s="65"/>
      <c r="S12" s="14"/>
      <c r="T12" s="14"/>
      <c r="U12" s="14"/>
      <c r="V12" s="14"/>
      <c r="W12" s="24"/>
      <c r="X12" s="25"/>
      <c r="Y12" s="25"/>
      <c r="Z12" s="25"/>
      <c r="AA12" s="25"/>
      <c r="AB12" s="25"/>
      <c r="AC12" s="25"/>
    </row>
    <row r="13">
      <c r="A13" s="59">
        <v>7.0</v>
      </c>
      <c r="B13" s="91" t="s">
        <v>28</v>
      </c>
      <c r="C13" s="61">
        <v>25000.0</v>
      </c>
      <c r="D13" s="29"/>
      <c r="E13" s="91" t="s">
        <v>28</v>
      </c>
      <c r="F13" s="61">
        <v>25000.0</v>
      </c>
      <c r="G13" s="29"/>
      <c r="H13" s="91" t="s">
        <v>28</v>
      </c>
      <c r="I13" s="61">
        <v>25.0</v>
      </c>
      <c r="J13" s="14"/>
      <c r="K13" s="48"/>
      <c r="L13" s="14"/>
      <c r="M13" s="20"/>
      <c r="N13" s="15"/>
      <c r="O13" s="14"/>
      <c r="P13" s="92"/>
      <c r="Q13" s="14"/>
      <c r="R13" s="65"/>
      <c r="S13" s="14"/>
      <c r="T13" s="14"/>
      <c r="U13" s="14"/>
      <c r="V13" s="14"/>
      <c r="W13" s="24"/>
      <c r="X13" s="25"/>
      <c r="Y13" s="25"/>
      <c r="Z13" s="25"/>
      <c r="AA13" s="25"/>
      <c r="AB13" s="25"/>
      <c r="AC13" s="25"/>
    </row>
    <row r="14">
      <c r="A14" s="59"/>
      <c r="B14" s="93"/>
      <c r="C14" s="94"/>
      <c r="D14" s="29"/>
      <c r="E14" s="73">
        <f>C7</f>
        <v>50000</v>
      </c>
      <c r="F14" s="14"/>
      <c r="G14" s="29"/>
      <c r="H14" s="14"/>
      <c r="I14" s="95"/>
      <c r="J14" s="14"/>
      <c r="K14" s="48"/>
      <c r="L14" s="14"/>
      <c r="M14" s="20"/>
      <c r="N14" s="14"/>
      <c r="O14" s="14"/>
      <c r="P14" s="21"/>
      <c r="Q14" s="14"/>
      <c r="R14" s="65"/>
      <c r="S14" s="14"/>
      <c r="T14" s="14"/>
      <c r="U14" s="14"/>
      <c r="V14" s="14"/>
      <c r="W14" s="24"/>
      <c r="X14" s="25"/>
      <c r="Y14" s="25"/>
      <c r="Z14" s="25"/>
      <c r="AA14" s="25"/>
      <c r="AB14" s="25"/>
      <c r="AC14" s="25"/>
    </row>
    <row r="15">
      <c r="A15" s="96"/>
      <c r="B15" s="97"/>
      <c r="C15" s="98"/>
      <c r="D15" s="29"/>
      <c r="E15" s="73">
        <f>C10</f>
        <v>0</v>
      </c>
      <c r="F15" s="14"/>
      <c r="G15" s="29"/>
      <c r="H15" s="14"/>
      <c r="I15" s="95"/>
      <c r="J15" s="14"/>
      <c r="K15" s="48"/>
      <c r="L15" s="14"/>
      <c r="M15" s="20"/>
      <c r="N15" s="14"/>
      <c r="O15" s="14"/>
      <c r="P15" s="21"/>
      <c r="Q15" s="14"/>
      <c r="R15" s="65"/>
      <c r="S15" s="14"/>
      <c r="T15" s="14"/>
      <c r="U15" s="14"/>
      <c r="V15" s="14"/>
      <c r="W15" s="24"/>
      <c r="X15" s="25"/>
      <c r="Y15" s="25"/>
      <c r="Z15" s="25"/>
      <c r="AA15" s="25"/>
      <c r="AB15" s="25"/>
      <c r="AC15" s="25"/>
    </row>
    <row r="16">
      <c r="A16" s="96"/>
      <c r="B16" s="93"/>
      <c r="C16" s="94"/>
      <c r="D16" s="29"/>
      <c r="E16" s="14" t="str">
        <f>E13-E14</f>
        <v>#VALUE!</v>
      </c>
      <c r="F16" s="14"/>
      <c r="G16" s="29"/>
      <c r="H16" s="14"/>
      <c r="I16" s="97"/>
      <c r="J16" s="14"/>
      <c r="K16" s="48"/>
      <c r="L16" s="14"/>
      <c r="M16" s="20"/>
      <c r="N16" s="14"/>
      <c r="O16" s="14"/>
      <c r="P16" s="21"/>
      <c r="Q16" s="14"/>
      <c r="R16" s="65"/>
      <c r="S16" s="14"/>
      <c r="T16" s="14"/>
      <c r="U16" s="14"/>
      <c r="V16" s="14"/>
      <c r="W16" s="24"/>
      <c r="X16" s="25"/>
      <c r="Y16" s="25"/>
      <c r="Z16" s="25"/>
      <c r="AA16" s="25"/>
      <c r="AB16" s="25"/>
      <c r="AC16" s="25"/>
    </row>
    <row r="17">
      <c r="A17" s="26"/>
      <c r="B17" s="95"/>
      <c r="C17" s="28"/>
      <c r="D17" s="29"/>
      <c r="E17" s="14"/>
      <c r="F17" s="14"/>
      <c r="G17" s="29"/>
      <c r="H17" s="14"/>
      <c r="I17" s="97"/>
      <c r="J17" s="14"/>
      <c r="K17" s="48"/>
      <c r="L17" s="14"/>
      <c r="M17" s="20"/>
      <c r="N17" s="14"/>
      <c r="O17" s="14"/>
      <c r="P17" s="21"/>
      <c r="Q17" s="14"/>
      <c r="R17" s="65"/>
      <c r="S17" s="14"/>
      <c r="T17" s="14"/>
      <c r="U17" s="14"/>
      <c r="V17" s="14"/>
      <c r="W17" s="24"/>
      <c r="X17" s="25"/>
      <c r="Y17" s="25"/>
      <c r="Z17" s="25"/>
      <c r="AA17" s="25"/>
      <c r="AB17" s="25"/>
      <c r="AC17" s="25"/>
    </row>
    <row r="18">
      <c r="A18" s="26"/>
      <c r="B18" s="95"/>
      <c r="C18" s="28"/>
      <c r="D18" s="29"/>
      <c r="E18" s="14"/>
      <c r="F18" s="14"/>
      <c r="G18" s="29"/>
      <c r="H18" s="14"/>
      <c r="I18" s="97"/>
      <c r="J18" s="14"/>
      <c r="K18" s="48"/>
      <c r="L18" s="14"/>
      <c r="M18" s="20"/>
      <c r="N18" s="14"/>
      <c r="O18" s="14"/>
      <c r="P18" s="21"/>
      <c r="Q18" s="14"/>
      <c r="R18" s="65"/>
      <c r="S18" s="14"/>
      <c r="T18" s="14"/>
      <c r="U18" s="14"/>
      <c r="V18" s="14"/>
      <c r="W18" s="24"/>
      <c r="X18" s="25"/>
      <c r="Y18" s="25"/>
      <c r="Z18" s="25"/>
      <c r="AA18" s="25"/>
      <c r="AB18" s="25"/>
      <c r="AC18" s="25"/>
    </row>
    <row r="19">
      <c r="A19" s="96"/>
      <c r="B19" s="97"/>
      <c r="C19" s="98"/>
      <c r="D19" s="29"/>
      <c r="E19" s="14"/>
      <c r="F19" s="14"/>
      <c r="G19" s="29"/>
      <c r="H19" s="14"/>
      <c r="I19" s="95"/>
      <c r="J19" s="14"/>
      <c r="K19" s="48"/>
      <c r="L19" s="14"/>
      <c r="M19" s="20"/>
      <c r="N19" s="14"/>
      <c r="O19" s="14"/>
      <c r="P19" s="21"/>
      <c r="Q19" s="14"/>
      <c r="R19" s="65"/>
      <c r="S19" s="14"/>
      <c r="T19" s="14"/>
      <c r="U19" s="14"/>
      <c r="V19" s="14"/>
      <c r="W19" s="24"/>
      <c r="X19" s="25"/>
      <c r="Y19" s="25"/>
      <c r="Z19" s="25"/>
      <c r="AA19" s="25"/>
      <c r="AB19" s="25"/>
      <c r="AC19" s="25"/>
    </row>
    <row r="20">
      <c r="A20" s="96"/>
      <c r="B20" s="97"/>
      <c r="C20" s="28"/>
      <c r="D20" s="29"/>
      <c r="E20" s="14"/>
      <c r="F20" s="14"/>
      <c r="G20" s="29"/>
      <c r="H20" s="14"/>
      <c r="I20" s="97"/>
      <c r="J20" s="14"/>
      <c r="K20" s="48"/>
      <c r="L20" s="14"/>
      <c r="M20" s="20"/>
      <c r="N20" s="14"/>
      <c r="O20" s="14"/>
      <c r="P20" s="21"/>
      <c r="Q20" s="14"/>
      <c r="R20" s="65"/>
      <c r="S20" s="14"/>
      <c r="T20" s="14"/>
      <c r="U20" s="14"/>
      <c r="V20" s="14"/>
      <c r="W20" s="24"/>
      <c r="X20" s="25"/>
      <c r="Y20" s="25"/>
      <c r="Z20" s="25"/>
      <c r="AA20" s="25"/>
      <c r="AB20" s="25"/>
      <c r="AC20" s="25"/>
    </row>
    <row r="21">
      <c r="A21" s="26"/>
      <c r="B21" s="95"/>
      <c r="C21" s="98"/>
      <c r="D21" s="29"/>
      <c r="E21" s="14"/>
      <c r="F21" s="14"/>
      <c r="G21" s="29"/>
      <c r="H21" s="14"/>
      <c r="I21" s="95"/>
      <c r="J21" s="14"/>
      <c r="K21" s="48"/>
      <c r="L21" s="14"/>
      <c r="M21" s="20"/>
      <c r="N21" s="14"/>
      <c r="O21" s="14"/>
      <c r="P21" s="21"/>
      <c r="Q21" s="14"/>
      <c r="R21" s="65"/>
      <c r="S21" s="14"/>
      <c r="T21" s="14"/>
      <c r="U21" s="14"/>
      <c r="V21" s="14"/>
      <c r="W21" s="24"/>
      <c r="X21" s="25"/>
      <c r="Y21" s="25"/>
      <c r="Z21" s="25"/>
      <c r="AA21" s="25"/>
      <c r="AB21" s="25"/>
      <c r="AC21" s="25"/>
    </row>
  </sheetData>
  <autoFilter ref="$A$1:$AC$21"/>
  <mergeCells count="1">
    <mergeCell ref="Q3:R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63"/>
    <col customWidth="1" min="2" max="2" width="17.13"/>
    <col customWidth="1" min="3" max="3" width="7.63"/>
    <col customWidth="1" min="4" max="4" width="2.0"/>
    <col customWidth="1" min="5" max="5" width="17.13"/>
    <col customWidth="1" min="6" max="6" width="7.63"/>
    <col customWidth="1" min="7" max="7" width="3.88"/>
    <col customWidth="1" min="8" max="8" width="17.13"/>
    <col customWidth="1" min="9" max="9" width="4.88"/>
    <col customWidth="1" min="10" max="10" width="15.0"/>
    <col customWidth="1" min="11" max="11" width="9.0"/>
    <col customWidth="1" min="12" max="12" width="5.63"/>
    <col customWidth="1" min="13" max="13" width="8.13"/>
    <col customWidth="1" min="14" max="14" width="6.13"/>
    <col customWidth="1" min="15" max="15" width="3.63"/>
    <col customWidth="1" min="16" max="16" width="10.75"/>
    <col customWidth="1" min="17" max="17" width="7.75"/>
    <col customWidth="1" min="18" max="18" width="11.0"/>
    <col customWidth="1" min="19" max="19" width="11.75"/>
    <col customWidth="1" min="20" max="20" width="8.88"/>
    <col customWidth="1" min="22" max="22" width="15.38"/>
  </cols>
  <sheetData>
    <row r="1">
      <c r="A1" s="1"/>
      <c r="B1" s="2">
        <v>1.0</v>
      </c>
      <c r="C1" s="3"/>
      <c r="D1" s="4"/>
      <c r="E1" s="5">
        <v>2.0</v>
      </c>
      <c r="F1" s="6"/>
      <c r="G1" s="4"/>
      <c r="H1" s="5">
        <v>3.0</v>
      </c>
      <c r="I1" s="1"/>
      <c r="J1" s="5"/>
      <c r="K1" s="6"/>
      <c r="L1" s="6"/>
      <c r="M1" s="5">
        <v>4.0</v>
      </c>
      <c r="N1" s="6"/>
      <c r="O1" s="5"/>
      <c r="P1" s="6"/>
      <c r="Q1" s="4"/>
      <c r="R1" s="7" t="s">
        <v>0</v>
      </c>
      <c r="S1" s="5"/>
      <c r="T1" s="6"/>
      <c r="U1" s="6"/>
      <c r="V1" s="8"/>
      <c r="W1" s="9"/>
      <c r="X1" s="9"/>
      <c r="Y1" s="9"/>
      <c r="Z1" s="9"/>
      <c r="AA1" s="9"/>
      <c r="AB1" s="9"/>
    </row>
    <row r="2">
      <c r="A2" s="10"/>
      <c r="B2" s="11"/>
      <c r="C2" s="12"/>
      <c r="D2" s="13"/>
      <c r="E2" s="14"/>
      <c r="F2" s="15"/>
      <c r="G2" s="13"/>
      <c r="H2" s="99" t="s">
        <v>12</v>
      </c>
      <c r="I2" s="37"/>
      <c r="J2" s="37"/>
      <c r="K2" s="37"/>
      <c r="L2" s="20"/>
      <c r="M2" s="21"/>
      <c r="N2" s="19"/>
      <c r="O2" s="21"/>
      <c r="P2" s="19"/>
      <c r="Q2" s="22"/>
      <c r="R2" s="23" t="s">
        <v>1</v>
      </c>
      <c r="S2" s="23"/>
      <c r="T2" s="23"/>
      <c r="U2" s="21"/>
      <c r="V2" s="24"/>
      <c r="W2" s="25"/>
      <c r="X2" s="25"/>
      <c r="Y2" s="25"/>
      <c r="Z2" s="25"/>
      <c r="AA2" s="25"/>
      <c r="AB2" s="25"/>
    </row>
    <row r="3">
      <c r="A3" s="26"/>
      <c r="B3" s="27"/>
      <c r="C3" s="28"/>
      <c r="D3" s="29"/>
      <c r="E3" s="10"/>
      <c r="F3" s="30">
        <v>1.0</v>
      </c>
      <c r="G3" s="29"/>
      <c r="H3" s="31">
        <v>3.0</v>
      </c>
      <c r="I3" s="100" t="s">
        <v>29</v>
      </c>
      <c r="J3" s="33" t="s">
        <v>2</v>
      </c>
      <c r="K3" s="19" t="s">
        <v>3</v>
      </c>
      <c r="L3" s="20"/>
      <c r="M3" s="35"/>
      <c r="N3" s="19">
        <v>3.0</v>
      </c>
      <c r="O3" s="35"/>
      <c r="P3" s="36" t="s">
        <v>4</v>
      </c>
      <c r="Q3" s="37"/>
      <c r="R3" s="23" t="s">
        <v>5</v>
      </c>
      <c r="S3" s="38" t="s">
        <v>6</v>
      </c>
      <c r="T3" s="38" t="s">
        <v>7</v>
      </c>
      <c r="U3" s="39" t="s">
        <v>8</v>
      </c>
      <c r="V3" s="40" t="s">
        <v>9</v>
      </c>
      <c r="W3" s="25"/>
      <c r="X3" s="25"/>
      <c r="Y3" s="25"/>
      <c r="Z3" s="25"/>
      <c r="AA3" s="25"/>
      <c r="AB3" s="25"/>
    </row>
    <row r="4">
      <c r="A4" s="41">
        <v>1.0</v>
      </c>
      <c r="B4" s="42" t="s">
        <v>10</v>
      </c>
      <c r="C4" s="43">
        <v>302000.0</v>
      </c>
      <c r="D4" s="44">
        <v>1.0</v>
      </c>
      <c r="E4" s="36" t="s">
        <v>11</v>
      </c>
      <c r="F4" s="45">
        <v>102000.0</v>
      </c>
      <c r="G4" s="44">
        <v>1.0</v>
      </c>
      <c r="H4" s="46" t="s">
        <v>12</v>
      </c>
      <c r="I4" s="45">
        <v>77.0</v>
      </c>
      <c r="J4" s="47">
        <v>1500.0</v>
      </c>
      <c r="K4" s="49">
        <f t="shared" ref="K4:K11" si="1">I4*J4</f>
        <v>115500</v>
      </c>
      <c r="L4" s="20"/>
      <c r="M4" s="50" t="s">
        <v>13</v>
      </c>
      <c r="N4" s="51">
        <v>30000.0</v>
      </c>
      <c r="O4" s="52"/>
      <c r="P4" s="53" t="s">
        <v>4</v>
      </c>
      <c r="Q4" s="54">
        <f>F6+K6+N4</f>
        <v>242500</v>
      </c>
      <c r="R4" s="55">
        <f>C6-Q4</f>
        <v>57500</v>
      </c>
      <c r="S4" s="56">
        <v>100.0</v>
      </c>
      <c r="T4" s="57">
        <f>R4/S4</f>
        <v>575</v>
      </c>
      <c r="U4" s="58">
        <v>3.0</v>
      </c>
      <c r="V4" s="24">
        <f>T4*U4</f>
        <v>1725</v>
      </c>
      <c r="W4" s="25"/>
      <c r="X4" s="25"/>
      <c r="Y4" s="25"/>
      <c r="Z4" s="25"/>
      <c r="AA4" s="25"/>
      <c r="AB4" s="25"/>
    </row>
    <row r="5">
      <c r="A5" s="59">
        <v>2.0</v>
      </c>
      <c r="B5" s="60" t="s">
        <v>14</v>
      </c>
      <c r="C5" s="61">
        <v>2000.0</v>
      </c>
      <c r="D5" s="62">
        <v>2.0</v>
      </c>
      <c r="E5" s="60" t="s">
        <v>14</v>
      </c>
      <c r="F5" s="61">
        <v>2000.0</v>
      </c>
      <c r="G5" s="62">
        <v>2.0</v>
      </c>
      <c r="H5" s="60" t="s">
        <v>14</v>
      </c>
      <c r="I5" s="61">
        <v>2.0</v>
      </c>
      <c r="J5" s="47"/>
      <c r="K5" s="5">
        <f t="shared" si="1"/>
        <v>0</v>
      </c>
      <c r="L5" s="20"/>
      <c r="M5" s="63" t="s">
        <v>15</v>
      </c>
      <c r="N5" s="63" t="s">
        <v>15</v>
      </c>
      <c r="O5" s="52"/>
      <c r="P5" s="64"/>
      <c r="Q5" s="65"/>
      <c r="R5" s="14"/>
      <c r="S5" s="14"/>
      <c r="T5" s="66"/>
      <c r="U5" s="14"/>
      <c r="V5" s="24"/>
      <c r="W5" s="25"/>
      <c r="X5" s="25"/>
      <c r="Y5" s="25"/>
      <c r="Z5" s="25"/>
      <c r="AA5" s="25"/>
      <c r="AB5" s="25"/>
    </row>
    <row r="6">
      <c r="A6" s="59">
        <v>3.0</v>
      </c>
      <c r="B6" s="67" t="s">
        <v>16</v>
      </c>
      <c r="C6" s="61">
        <f>C4-C5</f>
        <v>300000</v>
      </c>
      <c r="D6" s="62">
        <v>3.0</v>
      </c>
      <c r="E6" s="67" t="s">
        <v>16</v>
      </c>
      <c r="F6" s="61">
        <f>F4-F5</f>
        <v>100000</v>
      </c>
      <c r="G6" s="62">
        <v>3.0</v>
      </c>
      <c r="H6" s="67" t="s">
        <v>16</v>
      </c>
      <c r="I6" s="61">
        <f>I4-I5</f>
        <v>75</v>
      </c>
      <c r="J6" s="47">
        <v>1500.0</v>
      </c>
      <c r="K6" s="5">
        <f t="shared" si="1"/>
        <v>112500</v>
      </c>
      <c r="L6" s="20"/>
      <c r="M6" s="15"/>
      <c r="N6" s="15"/>
      <c r="O6" s="52"/>
      <c r="P6" s="68"/>
      <c r="Q6" s="65"/>
      <c r="R6" s="14"/>
      <c r="S6" s="14"/>
      <c r="T6" s="66"/>
      <c r="U6" s="14"/>
      <c r="V6" s="24"/>
      <c r="W6" s="25"/>
      <c r="X6" s="25"/>
      <c r="Y6" s="25"/>
      <c r="Z6" s="25"/>
      <c r="AA6" s="25"/>
      <c r="AB6" s="25"/>
    </row>
    <row r="7">
      <c r="A7" s="69">
        <v>4.0</v>
      </c>
      <c r="B7" s="70" t="s">
        <v>17</v>
      </c>
      <c r="C7" s="71">
        <f>C12+C13</f>
        <v>50000</v>
      </c>
      <c r="D7" s="62">
        <v>4.0</v>
      </c>
      <c r="E7" s="70" t="s">
        <v>18</v>
      </c>
      <c r="F7" s="71">
        <f>F12+F13</f>
        <v>50000</v>
      </c>
      <c r="G7" s="62">
        <v>4.0</v>
      </c>
      <c r="H7" s="70" t="s">
        <v>18</v>
      </c>
      <c r="I7" s="71">
        <f>I12+I13</f>
        <v>50</v>
      </c>
      <c r="J7" s="47">
        <v>1500.0</v>
      </c>
      <c r="K7" s="49">
        <f t="shared" si="1"/>
        <v>75000</v>
      </c>
      <c r="L7" s="20"/>
      <c r="M7" s="15" t="s">
        <v>19</v>
      </c>
      <c r="N7" s="63">
        <v>25000.0</v>
      </c>
      <c r="O7" s="52"/>
      <c r="P7" s="68" t="s">
        <v>20</v>
      </c>
      <c r="Q7" s="72">
        <f t="shared" ref="Q7:Q8" si="2">F7+K7+N7</f>
        <v>150000</v>
      </c>
      <c r="R7" s="73">
        <f t="shared" ref="R7:R8" si="3">C7-Q7</f>
        <v>-100000</v>
      </c>
      <c r="S7" s="56">
        <v>100.0</v>
      </c>
      <c r="T7" s="57">
        <f t="shared" ref="T7:T8" si="4">R7/S7</f>
        <v>-1000</v>
      </c>
      <c r="U7" s="74">
        <v>3.0</v>
      </c>
      <c r="V7" s="24">
        <f t="shared" ref="V7:V8" si="5">T7*U7</f>
        <v>-3000</v>
      </c>
      <c r="W7" s="25"/>
      <c r="X7" s="25"/>
      <c r="Y7" s="25"/>
      <c r="Z7" s="25"/>
      <c r="AA7" s="25"/>
      <c r="AB7" s="25"/>
    </row>
    <row r="8">
      <c r="A8" s="59">
        <v>5.0</v>
      </c>
      <c r="B8" s="67" t="s">
        <v>21</v>
      </c>
      <c r="C8" s="71">
        <f>C6-C7</f>
        <v>250000</v>
      </c>
      <c r="D8" s="62">
        <v>5.0</v>
      </c>
      <c r="E8" s="67" t="s">
        <v>22</v>
      </c>
      <c r="F8" s="71">
        <f>F6-F7</f>
        <v>50000</v>
      </c>
      <c r="G8" s="62">
        <v>5.0</v>
      </c>
      <c r="H8" s="67" t="s">
        <v>22</v>
      </c>
      <c r="I8" s="71">
        <f>I6-I7</f>
        <v>25</v>
      </c>
      <c r="J8" s="47">
        <v>1500.0</v>
      </c>
      <c r="K8" s="49">
        <f t="shared" si="1"/>
        <v>37500</v>
      </c>
      <c r="L8" s="20"/>
      <c r="M8" s="75" t="s">
        <v>23</v>
      </c>
      <c r="N8" s="75">
        <f>N4-N7</f>
        <v>5000</v>
      </c>
      <c r="O8" s="21"/>
      <c r="P8" s="68" t="s">
        <v>24</v>
      </c>
      <c r="Q8" s="72">
        <f t="shared" si="2"/>
        <v>92500</v>
      </c>
      <c r="R8" s="73">
        <f t="shared" si="3"/>
        <v>157500</v>
      </c>
      <c r="S8" s="56">
        <v>100.0</v>
      </c>
      <c r="T8" s="57">
        <f t="shared" si="4"/>
        <v>1575</v>
      </c>
      <c r="U8" s="74">
        <v>3.0</v>
      </c>
      <c r="V8" s="24">
        <f t="shared" si="5"/>
        <v>4725</v>
      </c>
      <c r="W8" s="25"/>
      <c r="X8" s="25"/>
      <c r="Y8" s="25"/>
      <c r="Z8" s="25"/>
      <c r="AA8" s="25"/>
      <c r="AB8" s="25"/>
    </row>
    <row r="9">
      <c r="A9" s="76">
        <v>6.0</v>
      </c>
      <c r="B9" s="77" t="s">
        <v>25</v>
      </c>
      <c r="C9" s="78">
        <v>0.0</v>
      </c>
      <c r="D9" s="62">
        <v>6.0</v>
      </c>
      <c r="E9" s="77" t="s">
        <v>25</v>
      </c>
      <c r="F9" s="78">
        <v>0.0</v>
      </c>
      <c r="G9" s="62">
        <v>6.0</v>
      </c>
      <c r="H9" s="77" t="s">
        <v>25</v>
      </c>
      <c r="I9" s="78">
        <v>0.0</v>
      </c>
      <c r="J9" s="47"/>
      <c r="K9" s="49">
        <f t="shared" si="1"/>
        <v>0</v>
      </c>
      <c r="L9" s="20"/>
      <c r="M9" s="14"/>
      <c r="N9" s="14"/>
      <c r="O9" s="21"/>
      <c r="P9" s="79"/>
      <c r="Q9" s="65"/>
      <c r="R9" s="14"/>
      <c r="S9" s="14"/>
      <c r="T9" s="66"/>
      <c r="U9" s="14"/>
      <c r="V9" s="24"/>
      <c r="W9" s="25"/>
      <c r="X9" s="25"/>
      <c r="Y9" s="25"/>
      <c r="Z9" s="25"/>
      <c r="AA9" s="25"/>
      <c r="AB9" s="25"/>
    </row>
    <row r="10">
      <c r="A10" s="59">
        <v>7.0</v>
      </c>
      <c r="B10" s="77" t="s">
        <v>26</v>
      </c>
      <c r="C10" s="78">
        <v>0.0</v>
      </c>
      <c r="D10" s="62">
        <v>7.0</v>
      </c>
      <c r="E10" s="77" t="s">
        <v>26</v>
      </c>
      <c r="F10" s="78">
        <v>0.0</v>
      </c>
      <c r="G10" s="62">
        <v>7.0</v>
      </c>
      <c r="H10" s="77" t="s">
        <v>26</v>
      </c>
      <c r="I10" s="78">
        <v>0.0</v>
      </c>
      <c r="J10" s="47">
        <v>1500.0</v>
      </c>
      <c r="K10" s="49">
        <f t="shared" si="1"/>
        <v>0</v>
      </c>
      <c r="L10" s="20"/>
      <c r="M10" s="75"/>
      <c r="N10" s="75"/>
      <c r="O10" s="21"/>
      <c r="P10" s="17"/>
      <c r="Q10" s="80"/>
      <c r="R10" s="14"/>
      <c r="S10" s="14"/>
      <c r="T10" s="14"/>
      <c r="U10" s="14"/>
      <c r="V10" s="24"/>
      <c r="W10" s="25"/>
      <c r="X10" s="25"/>
      <c r="Y10" s="25"/>
      <c r="Z10" s="25"/>
      <c r="AA10" s="25"/>
      <c r="AB10" s="25"/>
    </row>
    <row r="11" ht="12.0" customHeight="1">
      <c r="A11" s="81"/>
      <c r="B11" s="82"/>
      <c r="C11" s="83"/>
      <c r="D11" s="84"/>
      <c r="E11" s="82"/>
      <c r="F11" s="83"/>
      <c r="G11" s="84"/>
      <c r="H11" s="82"/>
      <c r="I11" s="83"/>
      <c r="J11" s="85"/>
      <c r="K11" s="86">
        <f t="shared" si="1"/>
        <v>0</v>
      </c>
      <c r="L11" s="86"/>
      <c r="M11" s="87" t="s">
        <v>15</v>
      </c>
      <c r="N11" s="87" t="s">
        <v>15</v>
      </c>
      <c r="O11" s="88"/>
      <c r="P11" s="88"/>
      <c r="Q11" s="89"/>
      <c r="R11" s="86"/>
      <c r="S11" s="86"/>
      <c r="T11" s="86"/>
      <c r="U11" s="86"/>
      <c r="V11" s="90"/>
      <c r="W11" s="90"/>
      <c r="X11" s="90"/>
      <c r="Y11" s="90"/>
      <c r="Z11" s="90"/>
      <c r="AA11" s="90"/>
      <c r="AB11" s="90"/>
    </row>
    <row r="12">
      <c r="A12" s="76">
        <v>6.0</v>
      </c>
      <c r="B12" s="91" t="s">
        <v>27</v>
      </c>
      <c r="C12" s="61">
        <v>25000.0</v>
      </c>
      <c r="D12" s="62">
        <v>6.0</v>
      </c>
      <c r="E12" s="91" t="s">
        <v>27</v>
      </c>
      <c r="F12" s="61">
        <v>25000.0</v>
      </c>
      <c r="G12" s="29"/>
      <c r="H12" s="91" t="s">
        <v>27</v>
      </c>
      <c r="I12" s="61">
        <v>25.0</v>
      </c>
      <c r="J12" s="14"/>
      <c r="K12" s="14"/>
      <c r="L12" s="20"/>
      <c r="M12" s="15" t="str">
        <f>J9</f>
        <v/>
      </c>
      <c r="N12" s="14"/>
      <c r="O12" s="52"/>
      <c r="P12" s="14"/>
      <c r="Q12" s="65"/>
      <c r="R12" s="14"/>
      <c r="S12" s="14"/>
      <c r="T12" s="14"/>
      <c r="U12" s="14"/>
      <c r="V12" s="24"/>
      <c r="W12" s="25"/>
      <c r="X12" s="25"/>
      <c r="Y12" s="25"/>
      <c r="Z12" s="25"/>
      <c r="AA12" s="25"/>
      <c r="AB12" s="25"/>
    </row>
    <row r="13">
      <c r="A13" s="59">
        <v>7.0</v>
      </c>
      <c r="B13" s="91" t="s">
        <v>28</v>
      </c>
      <c r="C13" s="61">
        <v>25000.0</v>
      </c>
      <c r="D13" s="62">
        <v>7.0</v>
      </c>
      <c r="E13" s="91" t="s">
        <v>28</v>
      </c>
      <c r="F13" s="61">
        <v>25000.0</v>
      </c>
      <c r="G13" s="29"/>
      <c r="H13" s="91" t="s">
        <v>28</v>
      </c>
      <c r="I13" s="61">
        <v>25.0</v>
      </c>
      <c r="J13" s="14"/>
      <c r="K13" s="14"/>
      <c r="L13" s="20"/>
      <c r="M13" s="15"/>
      <c r="N13" s="14"/>
      <c r="O13" s="92"/>
      <c r="P13" s="14"/>
      <c r="Q13" s="65"/>
      <c r="R13" s="14"/>
      <c r="S13" s="14"/>
      <c r="T13" s="14"/>
      <c r="U13" s="14"/>
      <c r="V13" s="24"/>
      <c r="W13" s="25"/>
      <c r="X13" s="25"/>
      <c r="Y13" s="25"/>
      <c r="Z13" s="25"/>
      <c r="AA13" s="25"/>
      <c r="AB13" s="25"/>
    </row>
    <row r="14">
      <c r="A14" s="59"/>
      <c r="B14" s="93"/>
      <c r="C14" s="94"/>
      <c r="D14" s="29"/>
      <c r="E14" s="73">
        <f>C7</f>
        <v>50000</v>
      </c>
      <c r="F14" s="14"/>
      <c r="G14" s="29"/>
      <c r="H14" s="14"/>
      <c r="I14" s="95"/>
      <c r="J14" s="14"/>
      <c r="K14" s="14"/>
      <c r="L14" s="20"/>
      <c r="M14" s="14"/>
      <c r="N14" s="14"/>
      <c r="O14" s="21"/>
      <c r="P14" s="14"/>
      <c r="Q14" s="65"/>
      <c r="R14" s="14"/>
      <c r="S14" s="14"/>
      <c r="T14" s="14"/>
      <c r="U14" s="14"/>
      <c r="V14" s="24"/>
      <c r="W14" s="25"/>
      <c r="X14" s="25"/>
      <c r="Y14" s="25"/>
      <c r="Z14" s="25"/>
      <c r="AA14" s="25"/>
      <c r="AB14" s="25"/>
    </row>
    <row r="15">
      <c r="A15" s="96"/>
      <c r="B15" s="97"/>
      <c r="C15" s="98"/>
      <c r="D15" s="29"/>
      <c r="E15" s="73">
        <f>C10</f>
        <v>0</v>
      </c>
      <c r="F15" s="14"/>
      <c r="G15" s="29"/>
      <c r="H15" s="14"/>
      <c r="I15" s="95"/>
      <c r="J15" s="14"/>
      <c r="K15" s="14"/>
      <c r="L15" s="20"/>
      <c r="M15" s="14"/>
      <c r="N15" s="14"/>
      <c r="O15" s="21"/>
      <c r="P15" s="14"/>
      <c r="Q15" s="65"/>
      <c r="R15" s="14"/>
      <c r="S15" s="14"/>
      <c r="T15" s="14"/>
      <c r="U15" s="14"/>
      <c r="V15" s="24"/>
      <c r="W15" s="25"/>
      <c r="X15" s="25"/>
      <c r="Y15" s="25"/>
      <c r="Z15" s="25"/>
      <c r="AA15" s="25"/>
      <c r="AB15" s="25"/>
    </row>
    <row r="16">
      <c r="A16" s="96"/>
      <c r="B16" s="93"/>
      <c r="C16" s="94"/>
      <c r="D16" s="29"/>
      <c r="E16" s="14" t="str">
        <f>E13-E14</f>
        <v>#VALUE!</v>
      </c>
      <c r="F16" s="14"/>
      <c r="G16" s="29"/>
      <c r="H16" s="14"/>
      <c r="I16" s="97"/>
      <c r="J16" s="14"/>
      <c r="K16" s="14"/>
      <c r="L16" s="20"/>
      <c r="M16" s="14"/>
      <c r="N16" s="14"/>
      <c r="O16" s="21"/>
      <c r="P16" s="14"/>
      <c r="Q16" s="65"/>
      <c r="R16" s="14"/>
      <c r="S16" s="14"/>
      <c r="T16" s="14"/>
      <c r="U16" s="14"/>
      <c r="V16" s="24"/>
      <c r="W16" s="25"/>
      <c r="X16" s="25"/>
      <c r="Y16" s="25"/>
      <c r="Z16" s="25"/>
      <c r="AA16" s="25"/>
      <c r="AB16" s="25"/>
    </row>
    <row r="17">
      <c r="A17" s="26"/>
      <c r="B17" s="95"/>
      <c r="C17" s="28"/>
      <c r="D17" s="29"/>
      <c r="E17" s="14"/>
      <c r="F17" s="14"/>
      <c r="G17" s="29"/>
      <c r="H17" s="14"/>
      <c r="I17" s="97"/>
      <c r="J17" s="14"/>
      <c r="K17" s="14"/>
      <c r="L17" s="20"/>
      <c r="M17" s="14"/>
      <c r="N17" s="14"/>
      <c r="O17" s="21"/>
      <c r="P17" s="14"/>
      <c r="Q17" s="65"/>
      <c r="R17" s="14"/>
      <c r="S17" s="14"/>
      <c r="T17" s="14"/>
      <c r="U17" s="14"/>
      <c r="V17" s="24"/>
      <c r="W17" s="25"/>
      <c r="X17" s="25"/>
      <c r="Y17" s="25"/>
      <c r="Z17" s="25"/>
      <c r="AA17" s="25"/>
      <c r="AB17" s="25"/>
    </row>
    <row r="18">
      <c r="A18" s="26"/>
      <c r="B18" s="95"/>
      <c r="C18" s="28"/>
      <c r="D18" s="29"/>
      <c r="E18" s="14"/>
      <c r="F18" s="14"/>
      <c r="G18" s="29"/>
      <c r="H18" s="14"/>
      <c r="I18" s="97"/>
      <c r="J18" s="14"/>
      <c r="K18" s="14"/>
      <c r="L18" s="20"/>
      <c r="M18" s="14"/>
      <c r="N18" s="14"/>
      <c r="O18" s="21"/>
      <c r="P18" s="14"/>
      <c r="Q18" s="65"/>
      <c r="R18" s="14"/>
      <c r="S18" s="14"/>
      <c r="T18" s="14"/>
      <c r="U18" s="14"/>
      <c r="V18" s="24"/>
      <c r="W18" s="25"/>
      <c r="X18" s="25"/>
      <c r="Y18" s="25"/>
      <c r="Z18" s="25"/>
      <c r="AA18" s="25"/>
      <c r="AB18" s="25"/>
    </row>
    <row r="19">
      <c r="A19" s="96"/>
      <c r="B19" s="97"/>
      <c r="C19" s="98"/>
      <c r="D19" s="29"/>
      <c r="E19" s="14"/>
      <c r="F19" s="14"/>
      <c r="G19" s="29"/>
      <c r="H19" s="14"/>
      <c r="I19" s="95"/>
      <c r="J19" s="14"/>
      <c r="K19" s="14"/>
      <c r="L19" s="20"/>
      <c r="M19" s="14"/>
      <c r="N19" s="14"/>
      <c r="O19" s="21"/>
      <c r="P19" s="14"/>
      <c r="Q19" s="65"/>
      <c r="R19" s="14"/>
      <c r="S19" s="14"/>
      <c r="T19" s="14"/>
      <c r="U19" s="14"/>
      <c r="V19" s="24"/>
      <c r="W19" s="25"/>
      <c r="X19" s="25"/>
      <c r="Y19" s="25"/>
      <c r="Z19" s="25"/>
      <c r="AA19" s="25"/>
      <c r="AB19" s="25"/>
    </row>
    <row r="20">
      <c r="A20" s="96"/>
      <c r="B20" s="97"/>
      <c r="C20" s="28"/>
      <c r="D20" s="29"/>
      <c r="E20" s="14"/>
      <c r="F20" s="14"/>
      <c r="G20" s="29"/>
      <c r="H20" s="14"/>
      <c r="I20" s="97"/>
      <c r="J20" s="14"/>
      <c r="K20" s="14"/>
      <c r="L20" s="20"/>
      <c r="M20" s="14"/>
      <c r="N20" s="14"/>
      <c r="O20" s="21"/>
      <c r="P20" s="14"/>
      <c r="Q20" s="65"/>
      <c r="R20" s="14"/>
      <c r="S20" s="14"/>
      <c r="T20" s="14"/>
      <c r="U20" s="14"/>
      <c r="V20" s="24"/>
      <c r="W20" s="25"/>
      <c r="X20" s="25"/>
      <c r="Y20" s="25"/>
      <c r="Z20" s="25"/>
      <c r="AA20" s="25"/>
      <c r="AB20" s="25"/>
    </row>
    <row r="21">
      <c r="A21" s="26"/>
      <c r="B21" s="95"/>
      <c r="C21" s="98"/>
      <c r="D21" s="29"/>
      <c r="E21" s="14"/>
      <c r="F21" s="14"/>
      <c r="G21" s="29"/>
      <c r="H21" s="14"/>
      <c r="I21" s="95"/>
      <c r="J21" s="14"/>
      <c r="K21" s="14"/>
      <c r="L21" s="20"/>
      <c r="M21" s="14"/>
      <c r="N21" s="14"/>
      <c r="O21" s="21"/>
      <c r="P21" s="14"/>
      <c r="Q21" s="65"/>
      <c r="R21" s="14"/>
      <c r="S21" s="14"/>
      <c r="T21" s="14"/>
      <c r="U21" s="14"/>
      <c r="V21" s="24"/>
      <c r="W21" s="25"/>
      <c r="X21" s="25"/>
      <c r="Y21" s="25"/>
      <c r="Z21" s="25"/>
      <c r="AA21" s="25"/>
      <c r="AB21" s="25"/>
    </row>
  </sheetData>
  <autoFilter ref="$A$1:$AB$21"/>
  <mergeCells count="2">
    <mergeCell ref="H2:K2"/>
    <mergeCell ref="P3:Q3"/>
  </mergeCells>
  <drawing r:id="rId1"/>
</worksheet>
</file>